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_P3" sheetId="1" r:id="rId4"/>
  </sheets>
  <definedNames/>
  <calcPr/>
</workbook>
</file>

<file path=xl/sharedStrings.xml><?xml version="1.0" encoding="utf-8"?>
<sst xmlns="http://schemas.openxmlformats.org/spreadsheetml/2006/main" count="11" uniqueCount="11">
  <si>
    <t>Jaime Lopez Garrido</t>
  </si>
  <si>
    <t>Codigo:</t>
  </si>
  <si>
    <t>https://github.com/JaimeLopezGarrido/Trabajos_Labo1/blob/main/src/workflows/CA_P3.ipynb</t>
  </si>
  <si>
    <t>ENVIOS</t>
  </si>
  <si>
    <t>Exp</t>
  </si>
  <si>
    <t>Semilla</t>
  </si>
  <si>
    <t>Media por Semilla</t>
  </si>
  <si>
    <t>Gan Media</t>
  </si>
  <si>
    <t>SD</t>
  </si>
  <si>
    <t>Mayor Gan Med</t>
  </si>
  <si>
    <t>Min 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</si>
</sst>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1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readingOrder="0"/>
    </xf>
    <xf borderId="3" fillId="2" fontId="1" numFmtId="0" xfId="0" applyBorder="1" applyFont="1"/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3" fontId="1" numFmtId="0" xfId="0" applyAlignment="1" applyBorder="1" applyFill="1" applyFont="1">
      <alignment readingOrder="0"/>
    </xf>
    <xf borderId="7" fillId="4" fontId="1" numFmtId="0" xfId="0" applyAlignment="1" applyBorder="1" applyFill="1" applyFont="1">
      <alignment readingOrder="0"/>
    </xf>
    <xf borderId="7" fillId="3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9" fillId="0" fontId="1" numFmtId="0" xfId="0" applyBorder="1" applyFont="1"/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4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7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3" fillId="0" fontId="1" numFmtId="0" xfId="0" applyBorder="1" applyFont="1"/>
    <xf borderId="1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aimeLopezGarrido/Trabajos_Labo1/blob/main/src/workflows/CA_P3.ipynb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4.13"/>
  </cols>
  <sheetData>
    <row r="1">
      <c r="B1" s="1" t="s">
        <v>0</v>
      </c>
    </row>
    <row r="3">
      <c r="B3" s="1" t="s">
        <v>1</v>
      </c>
      <c r="C3" s="2" t="s">
        <v>2</v>
      </c>
    </row>
    <row r="4">
      <c r="C4" s="3"/>
      <c r="D4" s="4"/>
      <c r="E4" s="4"/>
      <c r="F4" s="4"/>
      <c r="G4" s="5" t="s">
        <v>3</v>
      </c>
      <c r="H4" s="4"/>
      <c r="I4" s="4"/>
      <c r="J4" s="4"/>
      <c r="K4" s="4"/>
      <c r="L4" s="4"/>
      <c r="M4" s="6"/>
    </row>
    <row r="5">
      <c r="A5" s="7" t="s">
        <v>4</v>
      </c>
      <c r="B5" s="8" t="s">
        <v>5</v>
      </c>
      <c r="C5" s="9">
        <v>800.0</v>
      </c>
      <c r="D5" s="10">
        <v>850.0</v>
      </c>
      <c r="E5" s="11">
        <v>900.0</v>
      </c>
      <c r="F5" s="11">
        <v>950.0</v>
      </c>
      <c r="G5" s="11">
        <v>1000.0</v>
      </c>
      <c r="H5" s="11">
        <v>1050.0</v>
      </c>
      <c r="I5" s="11">
        <v>1100.0</v>
      </c>
      <c r="J5" s="11">
        <v>1150.0</v>
      </c>
      <c r="K5" s="11">
        <v>1200.0</v>
      </c>
      <c r="L5" s="11">
        <v>1250.0</v>
      </c>
      <c r="M5" s="12">
        <v>1300.0</v>
      </c>
      <c r="N5" s="13" t="s">
        <v>6</v>
      </c>
    </row>
    <row r="6">
      <c r="A6" s="14">
        <v>8.0</v>
      </c>
      <c r="B6" s="15">
        <v>100007.0</v>
      </c>
      <c r="C6" s="16">
        <v>4.399</v>
      </c>
      <c r="D6" s="17">
        <v>4.38</v>
      </c>
      <c r="E6" s="17">
        <v>4.17</v>
      </c>
      <c r="F6" s="17">
        <v>4.031</v>
      </c>
      <c r="G6" s="17">
        <v>4.26</v>
      </c>
      <c r="H6" s="17">
        <v>4.538</v>
      </c>
      <c r="I6" s="17">
        <v>4.409</v>
      </c>
      <c r="J6" s="17">
        <v>4.28</v>
      </c>
      <c r="K6" s="17">
        <v>4.17</v>
      </c>
      <c r="L6" s="17">
        <v>4.031</v>
      </c>
      <c r="M6" s="18">
        <v>3.872</v>
      </c>
      <c r="N6" s="19">
        <f t="shared" ref="N6:N10" si="1">AVERAGE(C6:M6)</f>
        <v>4.230909091</v>
      </c>
    </row>
    <row r="7">
      <c r="A7" s="14">
        <v>9.0</v>
      </c>
      <c r="B7" s="15">
        <v>454547.0</v>
      </c>
      <c r="C7" s="20">
        <v>3.773</v>
      </c>
      <c r="D7" s="21">
        <v>4.002</v>
      </c>
      <c r="E7" s="21">
        <v>3.853</v>
      </c>
      <c r="F7" s="21">
        <v>3.684</v>
      </c>
      <c r="G7" s="21">
        <v>3.525</v>
      </c>
      <c r="H7" s="21">
        <v>3.803</v>
      </c>
      <c r="I7" s="21">
        <v>4.399</v>
      </c>
      <c r="J7" s="21">
        <v>4.27</v>
      </c>
      <c r="K7" s="21">
        <v>4.101</v>
      </c>
      <c r="L7" s="21">
        <v>4.011</v>
      </c>
      <c r="M7" s="22">
        <v>3.853</v>
      </c>
      <c r="N7" s="19">
        <f t="shared" si="1"/>
        <v>3.934</v>
      </c>
    </row>
    <row r="8">
      <c r="A8" s="14">
        <v>10.0</v>
      </c>
      <c r="B8" s="15">
        <v>737371.0</v>
      </c>
      <c r="C8" s="20">
        <v>4.101</v>
      </c>
      <c r="D8" s="21">
        <v>3.932</v>
      </c>
      <c r="E8" s="21">
        <v>3.773</v>
      </c>
      <c r="F8" s="21">
        <v>3.952</v>
      </c>
      <c r="G8" s="21">
        <v>4.2</v>
      </c>
      <c r="H8" s="21">
        <v>4.081</v>
      </c>
      <c r="I8" s="21">
        <v>3.982</v>
      </c>
      <c r="J8" s="21">
        <v>4.26</v>
      </c>
      <c r="K8" s="21">
        <v>4.508</v>
      </c>
      <c r="L8" s="21">
        <v>4.389</v>
      </c>
      <c r="M8" s="22">
        <v>4.28</v>
      </c>
      <c r="N8" s="19">
        <f t="shared" si="1"/>
        <v>4.132545455</v>
      </c>
    </row>
    <row r="9">
      <c r="A9" s="14">
        <v>11.0</v>
      </c>
      <c r="B9" s="15">
        <v>999971.0</v>
      </c>
      <c r="C9" s="20">
        <v>4.458</v>
      </c>
      <c r="D9" s="21">
        <v>4.29</v>
      </c>
      <c r="E9" s="21">
        <v>4.19</v>
      </c>
      <c r="F9" s="21">
        <v>4.021</v>
      </c>
      <c r="G9" s="21">
        <v>3.912</v>
      </c>
      <c r="H9" s="21">
        <v>3.783</v>
      </c>
      <c r="I9" s="21">
        <v>3.644</v>
      </c>
      <c r="J9" s="21">
        <v>3.525</v>
      </c>
      <c r="K9" s="21">
        <v>3.406</v>
      </c>
      <c r="L9" s="21">
        <v>3.694</v>
      </c>
      <c r="M9" s="22">
        <v>3.932</v>
      </c>
      <c r="N9" s="19">
        <f t="shared" si="1"/>
        <v>3.895909091</v>
      </c>
    </row>
    <row r="10">
      <c r="A10" s="14">
        <v>12.0</v>
      </c>
      <c r="B10" s="23">
        <v>999983.0</v>
      </c>
      <c r="C10" s="24">
        <v>4.359</v>
      </c>
      <c r="D10" s="10">
        <v>4.587</v>
      </c>
      <c r="E10" s="25">
        <v>5.243</v>
      </c>
      <c r="F10" s="25">
        <v>5.074</v>
      </c>
      <c r="G10" s="25">
        <v>4.935</v>
      </c>
      <c r="H10" s="25">
        <v>4.816</v>
      </c>
      <c r="I10" s="25">
        <v>4.707</v>
      </c>
      <c r="J10" s="25">
        <v>4.578</v>
      </c>
      <c r="K10" s="25">
        <v>4.856</v>
      </c>
      <c r="L10" s="25">
        <v>4.687</v>
      </c>
      <c r="M10" s="26">
        <v>4.955</v>
      </c>
      <c r="N10" s="19">
        <f t="shared" si="1"/>
        <v>4.799727273</v>
      </c>
    </row>
    <row r="11">
      <c r="B11" s="27" t="s">
        <v>7</v>
      </c>
      <c r="C11" s="28">
        <f t="shared" ref="C11:M11" si="2">AVERAGE(C6:C10)</f>
        <v>4.218</v>
      </c>
      <c r="D11" s="29">
        <f t="shared" si="2"/>
        <v>4.2382</v>
      </c>
      <c r="E11" s="29">
        <f t="shared" si="2"/>
        <v>4.2458</v>
      </c>
      <c r="F11" s="29">
        <f t="shared" si="2"/>
        <v>4.1524</v>
      </c>
      <c r="G11" s="29">
        <f t="shared" si="2"/>
        <v>4.1664</v>
      </c>
      <c r="H11" s="29">
        <f t="shared" si="2"/>
        <v>4.2042</v>
      </c>
      <c r="I11" s="29">
        <f t="shared" si="2"/>
        <v>4.2282</v>
      </c>
      <c r="J11" s="29">
        <f t="shared" si="2"/>
        <v>4.1826</v>
      </c>
      <c r="K11" s="29">
        <f t="shared" si="2"/>
        <v>4.2082</v>
      </c>
      <c r="L11" s="29">
        <f t="shared" si="2"/>
        <v>4.1624</v>
      </c>
      <c r="M11" s="30">
        <f t="shared" si="2"/>
        <v>4.1784</v>
      </c>
    </row>
    <row r="12">
      <c r="B12" s="31" t="s">
        <v>8</v>
      </c>
      <c r="C12" s="32">
        <f t="shared" ref="C12:M12" si="3">STDEV(C6:C10)</f>
        <v>0.2837058336</v>
      </c>
      <c r="D12" s="33">
        <f t="shared" si="3"/>
        <v>0.2711092031</v>
      </c>
      <c r="E12" s="33">
        <f t="shared" si="3"/>
        <v>0.5876007999</v>
      </c>
      <c r="F12" s="33">
        <f t="shared" si="3"/>
        <v>0.5340667561</v>
      </c>
      <c r="G12" s="33">
        <f t="shared" si="3"/>
        <v>0.518832632</v>
      </c>
      <c r="H12" s="33">
        <f t="shared" si="3"/>
        <v>0.4580586207</v>
      </c>
      <c r="I12" s="33">
        <f t="shared" si="3"/>
        <v>0.4162375524</v>
      </c>
      <c r="J12" s="33">
        <f t="shared" si="3"/>
        <v>0.3911186521</v>
      </c>
      <c r="K12" s="33">
        <f t="shared" si="3"/>
        <v>0.5399075847</v>
      </c>
      <c r="L12" s="33">
        <f t="shared" si="3"/>
        <v>0.3827986416</v>
      </c>
      <c r="M12" s="34">
        <f t="shared" si="3"/>
        <v>0.4674155539</v>
      </c>
    </row>
    <row r="14">
      <c r="B14" s="27" t="s">
        <v>9</v>
      </c>
      <c r="C14" s="35">
        <f>MAX(C11:M11)</f>
        <v>4.2458</v>
      </c>
    </row>
    <row r="15">
      <c r="B15" s="31" t="s">
        <v>10</v>
      </c>
      <c r="C15" s="36">
        <f>MIN(C12:M12)</f>
        <v>0.2711092031</v>
      </c>
    </row>
  </sheetData>
  <hyperlinks>
    <hyperlink r:id="rId1" ref="C3"/>
  </hyperlinks>
  <drawing r:id="rId2"/>
</worksheet>
</file>